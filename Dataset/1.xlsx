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iqueta Areté" sheetId="1" r:id="rId4"/>
    <sheet state="visible" name="Etiqueta política y poder" sheetId="2" r:id="rId5"/>
    <sheet state="visible" name="Etiqueta Relación entre hombres" sheetId="3" r:id="rId6"/>
  </sheets>
  <definedNames/>
  <calcPr/>
</workbook>
</file>

<file path=xl/sharedStrings.xml><?xml version="1.0" encoding="utf-8"?>
<sst xmlns="http://schemas.openxmlformats.org/spreadsheetml/2006/main" count="72" uniqueCount="56">
  <si>
    <t>Etiqueta areté</t>
  </si>
  <si>
    <t>Número de canto</t>
  </si>
  <si>
    <t>Números de versos</t>
  </si>
  <si>
    <t>Cita</t>
  </si>
  <si>
    <t>Canto I</t>
  </si>
  <si>
    <t>Ver. 173-187</t>
  </si>
  <si>
    <t>«Huye en buena hora, si ése es el impulso de tu ánimo; no te suplico yo que te quedes por mí. A mi lado hay otros que me honrarán, y sobre todo el providente Zeus. Eres para mí el más odioso de los reyes, criados por Zeus, porque siempre te gustan la disputa, las riñas y las luchas. Si grande es tu fuerza, es porque un dios te la ha otorgado. Vete a casa con tus naves y con tus compañeros, y reina entre los mirmidones; no me preocupo de ti, ni me inquieta tu rencor. Pero te voy a hacer esta amenaza: igual que Febo Apolo me quita a Criseida, y yo con mi nave y con mis compañeros la voy a enviar, puede que me lleve a Briseida, de bellas mejillas, tu botín, yendo en persona a tu tienda, para que sepas bien cuánto más poderoso soy que tú, y aborrezca también otro pretender ser igual a mí y compararse conmigo.»</t>
  </si>
  <si>
    <t>Canto V</t>
  </si>
  <si>
    <t>Ver. 1-3</t>
  </si>
  <si>
    <t>Entonces de nuevo al Tidida Diomedes Palas Atenea infundió furia y audacia, para que destacado entre todos los argivos se hiciera y se alzara con noble gloria.</t>
  </si>
  <si>
    <t>Ver. 815-824</t>
  </si>
  <si>
    <t>«Te conozco, diosa, hija de Zeus, portador de la égida. Por eso te diré algo de modo amistoso y no te lo ocultaré: ni el exánime miedo me retiene ni tampoco desidia alguna, sino que aún recuerdo los encargos que tú me has encomendado: me has prohibido luchar frente a frente con los felices dioses restantes, y sólo en caso de que Afrodita, hija de Zeus, viniera al combate, me mandaste heririla con el agudo bronce. Por eso ahora yo retrocedo y también a los demás argivos sin excepcion he ordenado replegarse aquí; pues he reconocido a Ares enseñoreándose en la lucha.»</t>
  </si>
  <si>
    <t>Ver. 297-304</t>
  </si>
  <si>
    <t>Eneas saltó a tierra con el borquel y la larga lanza, temeroso de que los aqueos se llevaran el cadáver arrastrándolo. Asentó los pies a ambos lados, como león fiado en su coraje, y embrazó la lanza y el broquel, por doquier equilbrado, furioso por matar al que viniera a enfrentarse contra él, mientras profería pavorosos alaridos. Asió en la mano una peña el Tidida, gran hazaña, que no habrían cargado dos hombres como son ahora los mortales y que él solo blandió fácilmente.</t>
  </si>
  <si>
    <t>Canto XII</t>
  </si>
  <si>
    <t>Ver. 269-276</t>
  </si>
  <si>
    <t>«¡Amigos! Para todos los argivos, el eminente, el mediano y el peor —porque no todos los hombres somos iguales en el combate—, para todos hay ahora trabajo. También vosotros lo veis aquí. ¡Que nadie se quede atrás vuelto hacia las naves ahora que ha oído al autor de la arenga! Marchad adelante con denuedo y animaos mutuamente, a ver si el fulminador Zeus Olímpico nos concede rechazar la contienda y acosar a los enemigos hasta la ciudad.»</t>
  </si>
  <si>
    <t>Canto XVI</t>
  </si>
  <si>
    <t>Ver. 268-274</t>
  </si>
  <si>
    <t>Patroclo arengó a sus compañeros con recia voz: «¡Mirmídones, compañeros del Pelida Aquiles! ¡Sed hombres, amigos, y acordaos de vuestro impetuoso coraje! Así honraremos al Pelida, el mejor de los argivos que hay en las naves, como lo son sus soldados, que luchan de cerca, y el Atrida Agamenón, señor de anchos dominios, se enterará de su yerro, por no dar satisfacción al mejor de los aqueos.» Con estas palabras excitó la furia y el ánimo de cada uno.</t>
  </si>
  <si>
    <t>Ver. 377-383</t>
  </si>
  <si>
    <t>Patroclo justo por donde más revuelta veía la hueste guiaba los caballos entre gritos. Bajos los ejes los hombres caían de bruces desde los carros, y las cajas volcaban con estrépito. Franquearon de frente la fosa los ligeros caballos inmortales, espléndidos dones que los dioses habían regalado a Peleo, ávidos de seguir adelante Su ánimo le impulsaba hacia Héctor y ansiaba alcanzarlo mientras los ligeros caballos lo sacaban.</t>
  </si>
  <si>
    <t>Etiqueta política y poder</t>
  </si>
  <si>
    <t>Canto II</t>
  </si>
  <si>
    <t>Ver. 200-206</t>
  </si>
  <si>
    <t>«¡Infeliz! Siéntate sin temblar y atiende a los demás,
que son más valiosos. Tú eres inútil y careces de coraje:
ni en el combate nunca se te tiene en cuenta ni en la asamblea.
De ninguna manera seremos reyes aquí todos los aqueos.
No es bueno el caudillaje de muchos; sea uno solo el caudillo,
uno solo el rey, a quien ha otorgado el taimado hijo de Crono
el cetro y las leyes, para decidir con ellos en el consejo.»</t>
  </si>
  <si>
    <t>Canto VI</t>
  </si>
  <si>
    <t>Ver. 441-465</t>
  </si>
  <si>
    <t>«También a mí me preocupa todo eso, mujer; pero tremenda
vergüenza me dan los troyanos y troyanas, de rozagantes mantos,
si como un cobarde trato de escabullirme lejos del combate.
También me lo impide el ánimo, pues he aprendido a ser valiente
en todo morfiento y a luchar entre los primeros troyanos,
tratando de ganar gran gloria para mi padre y para mí mismo.
Bien sé yo esto en mi mente y en mi ánimo:
habrá un día en que seguramente perezca la sacra Ilio,
y Príamo y la hueste de Príamo, el de buena lanza de fresno.
Mas no me importa tanto el dolor de los troyanos en el futuro
ni el de la propia Hécuba ni el del soberano Príamo
ni el de mis hermanos, que, muchos y valerosos,
puede que caigan en el polvo bajo los enemigos,
como el tuyo, cuando uno de los aqueos, de broncíneas túnicas,
te lleve envuelta en lágrimas y te prive del día de la libertad;
y quizá en Argos tejas la tela por encargo de una extraña
y quizá vayas por agua a la fuente Meseide o a la Hiperea
obligada a muchas penas, y puede que te acose feroz necesidad.
Y alguna vez quizá diga alguien al verte derramar lágrimas
‘Ésta es la mujer de Héctor, el que descollaba en la lucha sobre
los troyanos, domadores de caballos, cuando se batían por Ilio.’
Así dirá alguien alguna vez, y tú sentirás un renovado dolor
por la falta del marido que te proteja del día de la esclavitud.
Mas ojalá que un montón de tierra me oculte, ya muerto,
antes de oír tu grito y ver cómo te arrastran.»</t>
  </si>
  <si>
    <t>Ver. 482-493</t>
  </si>
  <si>
    <t>Tras hablar así, en los brazos de su esposa puso a su hijo, y ésta lo acogió en su fragante regazo, entre lágrimas riendo. Su marido se compadeció al notarlo, la acarició con la mano, la llamó con todos sus nombres y dijo: «¡Desdichada! No te aflijas demasiado por mí en tu ánimo, que ningún hombre me precipitará al Hades contra el destino. De su suerte te aseguro que no hay ningún hombre que escape, ni cobarde ni valeroso, desde el mismo día en que ha nacido. Mas ve a casa y ocúpate de tus labores, el telar y la rueca, y ordena a las sirvientas aplicarse a la faena. Del combate se cuidarán los hombres todos que en Ilio han nacido y yo, sobre todo.»</t>
  </si>
  <si>
    <t>Canto IX</t>
  </si>
  <si>
    <t>Ver. 337-345</t>
  </si>
  <si>
    <t>«... . ¿Por qué hemos de luchar con los troyanos los argivos? ¿Para qué ha reunido una hueste y la ha traído aquí el Atrida? ¿Acaso no ha sido por Helena, la de hermosos cabellos? ¿Es que los únicos de los míseros humanos que aman a sus esposas son los Atridas? Porque todo hombre que es prudente y juicioso ama y cuida a la suya, como también yo amaba a ésta de corazón, aunque fuera prenda adquirida con la lanza. Ahora que me ha quitado el botín de las manos y me ha engañado, que no haga otro intento; lo conozco bien y no me persuadirá. ...»</t>
  </si>
  <si>
    <t>Canto XIV</t>
  </si>
  <si>
    <t>ver. 83-94</t>
  </si>
  <si>
    <t>«¡Atrida! ¡Qué palabra ha saldo del cerco de tus dientes! ¡Maldito! A otro ejército que fuera de infames habrías debido dar señas de mando y no ser soberano nuestro, a quienes Zeus destinó devanar desde la juventud hasta la vejez un ovillo de dolorosas guerras, hasta que nos consumamos uno a uno. ¿La ciudad, de amplias calles, de los troyanos ansías así abandonar, por la que tantas desgracias estamos lamentando? ¡Calla! No sea que algún otro aqueo oiga esa propuesra que en absoluto podría salir de la boca de un varón que sepa en sus mientes expresar cosas sensatas y sea un portador del cetro a quien obedecen tantas hueste como las que tú mandas como soberano de los argivos. ...»</t>
  </si>
  <si>
    <t>Canto XXII</t>
  </si>
  <si>
    <t>Ver. 79-89</t>
  </si>
  <si>
    <t>Al otro lado, su madre se lamentaba y vertía lágrimas, mientras con una mano se abría el vestido y con otra se alzaba el pecho. Y entre las lágrimas que vertía le dijo estas aladas palabras: «¡Héctor, hijo mío! Respeta esto y compadécete de mí, si te puse en los labios el pecho, que acalla los llantos. ¡Acuérdate de eso, hijo mío, y protégete del enemigo metiéndote en la muralla! ¡No te enfrentes a ése duelo! ¡El cruel! Pues si te mata, yo ya no podré llorar en el lecho, querido retoño a quien yo di a luz, ni tampoco tu esposa, de rica dote; y muy lejos de las dos, junto a las naves argivas, te devoraran los rápidos perros.»</t>
  </si>
  <si>
    <t>Etiqueta Relación entre dioses y hombres</t>
  </si>
  <si>
    <t>Ver. 476-481</t>
  </si>
  <si>
    <t>«¡Zeus y demás dioses! Concededme que este niño mío llegue a ser como yo, sobresaliente entre los troyanos, igual de valersos ne fuerza y rey con poder soberano en Ilio. Que alguna vez diga de él: 'Es mucho mejor que su padre', al regresar del combate. Y que traiga ensangrentados despojos del enemigo muerto y que a su madre se le alegre el corazón.»</t>
  </si>
  <si>
    <t>Ver. 400-403</t>
  </si>
  <si>
    <t>Ayante y Teucro actuaron de consuno: éste con una saeta le acertó en el luciente tahalí que sujetaba en torno del pecho el broquel, que cubre entero al mortal; mas Zeus alejó la parca de su hijo y evitó que sucumbiera junto a las popas de las naves.</t>
  </si>
  <si>
    <t>Ver. 451-458</t>
  </si>
  <si>
    <t xml:space="preserve">Como cuando un pastor carga sin fatiga el vellón de un carnero, cogiéndolo con una sola mano, y su peso le oprime bien poco, así Héctor alzó y llevó el peñasco derecho hacia las hojas que cerraban con solidez las pueras, ajustadas de modo robusto y hechas con elevados batientes. En el lado interior dos trancas haciendo juego las sujetaban, y una sola llave las ensamblaba. Fue y se detuvo muy cerca, y lo tiró al centro, bien asentado y estribando sobre las piernas para hacer más eficaz el impacto. </t>
  </si>
  <si>
    <t>Ver. 508-526</t>
  </si>
  <si>
    <t>Glauco sintió una atroz aflicción al percibir su voz, y su corazón se turbó por no haber podido acudir a defenderlo. Se agarró y apretó el brazo; le taladraba de dolor la herida que Teucro le había inferido con una saeta, cuando atacaba el alto muro, procurando apartar de sus compañeros la ruina. Entonces pronunció esta súplica, dirigida al flechador Apolo: «¡Óyeme, soberano, tanto si en el pingüe pueblo de Licia estás como si estás en Troya! Tú en todo lugar puedes escuchar al hombre angustiado, a quien ha llegado la pena, como a mí. Esta terrible herida que tengo me afecta todo el brazo y lo atraviesa de agudos dolores; la sangre no es capaz de coagularse, y el hombro se me entorpece con su peso. No puedo sostener la pica con firmeza ni ir a luchar contra los adversarios. Y ha perecido el varón más bravo, Sarpedón, hijo de Zeus, que ni siquiera a su hijo protege. Pero tú, soberano, cúrame esta terrible herida, apacigua mis dolores y dame vigor para arengar a mis compañeros licios y estimularlos a combatir, y para luchar yo mismo por el cuerpo sin vida de Sarpedón.»</t>
  </si>
  <si>
    <t>Ver. 697-703</t>
  </si>
  <si>
    <t>Entonces los aqueos habrían tomado Troya, de altas puertas, a manos de Patroclo, que con la pica cargaba por doquier, si Febo Apolo no se hubiera plantado en una bien edificada torre, meditando males contra él y presto a defender a los troyanos. Tres veces atacó el ángulo de la elevada muralla Patroclo, y tres veces lo repelió Apolo, golpeando el reluciente broquel con sus inmortales manos.</t>
  </si>
  <si>
    <t>Ver. 707-709</t>
  </si>
  <si>
    <t>«¡Repliégate, Patroclo, de linaje de Zeus! No es tu sino que la ciudad de los altivos troyanos sea saqueada con tu lanza, ni tampoco con la de Aquiles, que es mucho mejor que tú.»</t>
  </si>
  <si>
    <t>Canto XXIV</t>
  </si>
  <si>
    <t>Ver. 518-526</t>
  </si>
  <si>
    <t>"«¡Desdichado! ¡Cuántas désgracias ha soportado tu corazón! ¿Cómo te has atrevido a venir solo a las naves de los aqueos para ponerte a la vista del hombre que a muchos y valerosos hijos tuyos ha despojado? De hierro es tu corazón. Pero, ea, siéntate en ese asiento. Los dolores, no obstante, dejémoslos reposar en el ánimo, a pesar de nuestra aflicción.
Nada se consigue con el gélido llanto, que hiela el corazón.
Pues lo que los dioses han hilado para los míseros mortales es vivir entre congojas, mientras ellos están exentos de cuitas.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</si>
</sst>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sz val="11.0"/>
      <color theme="1"/>
      <name val="Arial"/>
      <scheme val="minor"/>
    </font>
    <font>
      <sz val="11.0"/>
      <color theme="1"/>
      <name val="Arial"/>
    </font>
    <font>
      <sz val="11.0"/>
      <color theme="1"/>
      <name val="Aptos Narrow"/>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xf>
    <xf borderId="0" fillId="0" fontId="3" numFmtId="0" xfId="0" applyFont="1"/>
    <xf borderId="0" fillId="0" fontId="3" numFmtId="0" xfId="0" applyAlignment="1" applyFont="1">
      <alignment readingOrder="0"/>
    </xf>
    <xf borderId="0" fillId="0" fontId="4" numFmtId="0" xfId="0" applyAlignment="1" applyFont="1">
      <alignment readingOrder="0" shrinkToFit="0" wrapText="1"/>
    </xf>
    <xf borderId="0" fillId="0" fontId="3" numFmtId="0" xfId="0" applyFont="1"/>
    <xf borderId="0" fillId="0" fontId="1" numFmtId="0" xfId="0" applyFont="1"/>
    <xf borderId="1" fillId="0" fontId="3" numFmtId="0" xfId="0" applyAlignment="1" applyBorder="1" applyFont="1">
      <alignment readingOrder="0" vertical="center"/>
    </xf>
    <xf borderId="0" fillId="0" fontId="5" numFmtId="0" xfId="0" applyAlignment="1" applyFont="1">
      <alignment shrinkToFit="0" wrapText="1"/>
    </xf>
    <xf borderId="1" fillId="0" fontId="3" numFmtId="0" xfId="0" applyAlignment="1" applyBorder="1" applyFont="1">
      <alignment readingOrder="0" shrinkToFit="0" wrapText="1"/>
    </xf>
    <xf borderId="1" fillId="0" fontId="3"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7.75"/>
    <col customWidth="1" min="3" max="3" width="41.25"/>
  </cols>
  <sheetData>
    <row r="2">
      <c r="A2" s="1" t="s">
        <v>0</v>
      </c>
    </row>
    <row r="4">
      <c r="A4" s="2" t="s">
        <v>1</v>
      </c>
      <c r="B4" s="2" t="s">
        <v>2</v>
      </c>
      <c r="C4" s="2" t="s">
        <v>3</v>
      </c>
    </row>
    <row r="5">
      <c r="A5" s="3" t="s">
        <v>4</v>
      </c>
      <c r="B5" s="4" t="s">
        <v>5</v>
      </c>
      <c r="C5" s="5" t="s">
        <v>6</v>
      </c>
    </row>
    <row r="6">
      <c r="A6" s="6" t="s">
        <v>7</v>
      </c>
      <c r="B6" s="4" t="s">
        <v>8</v>
      </c>
      <c r="C6" s="5" t="s">
        <v>9</v>
      </c>
    </row>
    <row r="7">
      <c r="A7" s="4" t="s">
        <v>7</v>
      </c>
      <c r="B7" s="4" t="s">
        <v>10</v>
      </c>
      <c r="C7" s="5" t="s">
        <v>11</v>
      </c>
    </row>
    <row r="8">
      <c r="A8" s="4" t="s">
        <v>7</v>
      </c>
      <c r="B8" s="4" t="s">
        <v>12</v>
      </c>
      <c r="C8" s="5" t="s">
        <v>13</v>
      </c>
    </row>
    <row r="9">
      <c r="A9" s="4" t="s">
        <v>14</v>
      </c>
      <c r="B9" s="4" t="s">
        <v>15</v>
      </c>
      <c r="C9" s="5" t="s">
        <v>16</v>
      </c>
    </row>
    <row r="10">
      <c r="A10" s="4" t="s">
        <v>17</v>
      </c>
      <c r="B10" s="4" t="s">
        <v>18</v>
      </c>
      <c r="C10" s="5" t="s">
        <v>19</v>
      </c>
    </row>
    <row r="11">
      <c r="A11" s="4" t="s">
        <v>17</v>
      </c>
      <c r="B11" s="4" t="s">
        <v>20</v>
      </c>
      <c r="C11" s="5" t="s">
        <v>21</v>
      </c>
    </row>
    <row r="14">
      <c r="C14" s="4"/>
    </row>
    <row r="18">
      <c r="B18" s="7" t="str">
        <f>C20</f>
        <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7.75"/>
    <col customWidth="1" min="3" max="3" width="77.88"/>
  </cols>
  <sheetData>
    <row r="2">
      <c r="A2" s="1" t="s">
        <v>22</v>
      </c>
    </row>
    <row r="4">
      <c r="A4" s="2" t="s">
        <v>1</v>
      </c>
      <c r="B4" s="2" t="s">
        <v>2</v>
      </c>
      <c r="C4" s="2" t="s">
        <v>3</v>
      </c>
    </row>
    <row r="5">
      <c r="A5" s="4" t="s">
        <v>23</v>
      </c>
      <c r="B5" s="8" t="s">
        <v>24</v>
      </c>
      <c r="C5" s="9" t="s">
        <v>25</v>
      </c>
    </row>
    <row r="6">
      <c r="A6" s="3" t="s">
        <v>26</v>
      </c>
      <c r="B6" s="8" t="s">
        <v>27</v>
      </c>
      <c r="C6" s="9" t="s">
        <v>28</v>
      </c>
    </row>
    <row r="7">
      <c r="A7" s="4" t="s">
        <v>26</v>
      </c>
      <c r="B7" s="8" t="s">
        <v>29</v>
      </c>
      <c r="C7" s="5" t="s">
        <v>30</v>
      </c>
    </row>
    <row r="8">
      <c r="A8" s="4" t="s">
        <v>31</v>
      </c>
      <c r="B8" s="8" t="s">
        <v>32</v>
      </c>
      <c r="C8" s="5" t="s">
        <v>33</v>
      </c>
    </row>
    <row r="9">
      <c r="A9" s="4" t="s">
        <v>34</v>
      </c>
      <c r="B9" s="8" t="s">
        <v>35</v>
      </c>
      <c r="C9" s="5" t="s">
        <v>36</v>
      </c>
    </row>
    <row r="10">
      <c r="A10" s="4" t="s">
        <v>37</v>
      </c>
      <c r="B10" s="8" t="s">
        <v>38</v>
      </c>
      <c r="C10" s="5" t="s">
        <v>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7.75"/>
    <col customWidth="1" min="3" max="3" width="52.88"/>
  </cols>
  <sheetData>
    <row r="2">
      <c r="A2" s="1" t="s">
        <v>40</v>
      </c>
    </row>
    <row r="4">
      <c r="A4" s="2" t="s">
        <v>1</v>
      </c>
      <c r="B4" s="2" t="s">
        <v>2</v>
      </c>
      <c r="C4" s="2" t="s">
        <v>3</v>
      </c>
    </row>
    <row r="5">
      <c r="A5" s="8" t="s">
        <v>26</v>
      </c>
      <c r="B5" s="8" t="s">
        <v>41</v>
      </c>
      <c r="C5" s="10" t="s">
        <v>42</v>
      </c>
    </row>
    <row r="6">
      <c r="A6" s="11" t="s">
        <v>14</v>
      </c>
      <c r="B6" s="12" t="s">
        <v>43</v>
      </c>
      <c r="C6" s="11" t="s">
        <v>44</v>
      </c>
    </row>
    <row r="7">
      <c r="A7" s="11" t="s">
        <v>14</v>
      </c>
      <c r="B7" s="12" t="s">
        <v>45</v>
      </c>
      <c r="C7" s="11" t="s">
        <v>46</v>
      </c>
    </row>
    <row r="8">
      <c r="A8" s="11" t="s">
        <v>17</v>
      </c>
      <c r="B8" s="12" t="s">
        <v>47</v>
      </c>
      <c r="C8" s="11" t="s">
        <v>48</v>
      </c>
    </row>
    <row r="9">
      <c r="A9" s="11" t="s">
        <v>17</v>
      </c>
      <c r="B9" s="12" t="s">
        <v>49</v>
      </c>
      <c r="C9" s="11" t="s">
        <v>50</v>
      </c>
    </row>
    <row r="10">
      <c r="A10" s="11" t="s">
        <v>17</v>
      </c>
      <c r="B10" s="12" t="s">
        <v>51</v>
      </c>
      <c r="C10" s="11" t="s">
        <v>52</v>
      </c>
    </row>
    <row r="11">
      <c r="A11" s="11" t="s">
        <v>53</v>
      </c>
      <c r="B11" s="12" t="s">
        <v>54</v>
      </c>
      <c r="C11" s="11" t="s">
        <v>55</v>
      </c>
    </row>
  </sheetData>
  <drawing r:id="rId1"/>
</worksheet>
</file>